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아과 검수" sheetId="1" state="visible" r:id="rId1"/>
    <sheet xmlns:r="http://schemas.openxmlformats.org/officeDocument/2006/relationships" name="근거" sheetId="2" state="visible" r:id="rId2"/>
    <sheet xmlns:r="http://schemas.openxmlformats.org/officeDocument/2006/relationships" name="이미 반영 (검수만)" sheetId="3" state="visible" r:id="rId3"/>
  </sheets>
  <definedNames>
    <definedName name="_xlnm._FilterDatabase" localSheetId="0" hidden="1">'소아과 검수'!$A$4:$J$41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color rgb="FFC00000"/>
      <sz val="10"/>
    </font>
    <font>
      <b val="1"/>
      <color rgb="FFFFFFFF"/>
      <sz val="11"/>
    </font>
    <font>
      <b val="1"/>
      <sz val="11"/>
    </font>
    <font>
      <b val="1"/>
      <color rgb="FFC00000"/>
      <sz val="11"/>
    </font>
    <font>
      <color rgb="FF808080"/>
      <sz val="9"/>
    </font>
    <font>
      <color rgb="FF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CE6F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ed.unc.edu/pediatrics/cccp/wp-content/uploads/sites/1156/2025/06/Pediatric-IV-Push-Quick-ED-Reference-Table.pdf" TargetMode="External" Id="rId1"/><Relationship Type="http://schemas.openxmlformats.org/officeDocument/2006/relationships/hyperlink" Target="https://www.ohsu.edu/sites/default/files/2019-04/DCH-3042167-Emergency-Pocket-Card-v5.pdf" TargetMode="External" Id="rId2"/><Relationship Type="http://schemas.openxmlformats.org/officeDocument/2006/relationships/hyperlink" Target="https://publications.aap.org/pediatrics/article/149/3/e2021056036/184866/Vitamin-K-and-the-Newborn-Infant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6" customWidth="1" min="3" max="3"/>
    <col width="30" customWidth="1" min="4" max="4"/>
    <col width="34" customWidth="1" min="5" max="5"/>
    <col width="12" customWidth="1" min="6" max="6"/>
    <col width="52" customWidth="1" min="7" max="7"/>
    <col width="15" customWidth="1" min="8" max="8"/>
    <col width="20" customWidth="1" min="9" max="9"/>
    <col width="22" customWidth="1" min="10" max="10"/>
  </cols>
  <sheetData>
    <row r="1" ht="22" customHeight="1">
      <c r="A1" s="1" t="inlineStr">
        <is>
          <t>투약 앱 소아 계산기 — 소아과 교수 컨펌표  (2026-08-11)</t>
        </is>
      </c>
    </row>
    <row r="2" ht="42" customHeight="1">
      <c r="A2" s="2" t="inlineStr">
        <is>
          <t>🛑 「참고값」은 전부 외부 표준 자료(AHA PALS 근거 설계서·UNC·OHSU·AAP)에서 찾은 초안이며 원내 컨펌이 아닙니다. 앱에 적용하지 않고 비워 둔 상태입니다.  ▸ 「검토」·「원내 확정값」 두 열(노란 칸)만 채워 주시면 그대로 반영합니다.  ▸ 근거 코드(A·B·C·D·H·S)의 원문 출처는 「근거」 시트 참조.  ▸ 재고·규격·희석 사실관계는 약제부 별도 질의 중입니다.</t>
        </is>
      </c>
    </row>
    <row r="4" ht="34" customHeight="1">
      <c r="A4" s="3" t="inlineStr">
        <is>
          <t>Q</t>
        </is>
      </c>
      <c r="B4" s="3" t="inlineStr">
        <is>
          <t>묶음</t>
        </is>
      </c>
      <c r="C4" s="3" t="inlineStr">
        <is>
          <t>항목</t>
        </is>
      </c>
      <c r="D4" s="3" t="inlineStr">
        <is>
          <t>현재 앱 값</t>
        </is>
      </c>
      <c r="E4" s="3" t="inlineStr">
        <is>
          <t>참고값 (초안 — 미적용)</t>
        </is>
      </c>
      <c r="F4" s="3" t="inlineStr">
        <is>
          <t>근거</t>
        </is>
      </c>
      <c r="G4" s="3" t="inlineStr">
        <is>
          <t>쟁점 — 왜 확정 못 했나</t>
        </is>
      </c>
      <c r="H4" s="3" t="inlineStr">
        <is>
          <t>검토
✅채택 / ✏️수정 / ❌미사용</t>
        </is>
      </c>
      <c r="I4" s="3" t="inlineStr">
        <is>
          <t>원내 확정값</t>
        </is>
      </c>
      <c r="J4" s="3" t="inlineStr">
        <is>
          <t>메모</t>
        </is>
      </c>
    </row>
    <row r="5" ht="52" customHeight="1">
      <c r="A5" s="4" t="inlineStr">
        <is>
          <t>Q1</t>
        </is>
      </c>
      <c r="B5" s="5" t="inlineStr">
        <is>
          <t>① 병원 컨펌표 수치 오류</t>
        </is>
      </c>
      <c r="C5" s="6" t="inlineStr">
        <is>
          <t>Epinephrine IV · 6-7kg 열</t>
        </is>
      </c>
      <c r="D5" s="4" t="inlineStr">
        <is>
          <t>앱은 컨펌표 값을 쓰지 않고 0.01mg/kg 공식으로 계산 중</t>
        </is>
      </c>
      <c r="E5" s="7" t="inlineStr">
        <is>
          <t>0.065mg (0.65ml)</t>
        </is>
      </c>
      <c r="F5" s="4" t="inlineStr">
        <is>
          <t>H + 검산</t>
        </is>
      </c>
      <c r="G5" s="7" t="inlineStr">
        <is>
          <t>표 기재 = 0.65mg. 같은 행 다른 10개 열은 전부 0.010mg/kg인데 이 열만 0.100mg/kg(10배). 괄호 안 ml값(0.65ml)은 0.1mg/ml 기준 0.065mg에 해당 → mg 표기만 어긋남</t>
        </is>
      </c>
      <c r="H5" s="8" t="inlineStr"/>
      <c r="I5" s="8" t="inlineStr"/>
      <c r="J5" s="4" t="inlineStr"/>
    </row>
    <row r="6" ht="39" customHeight="1">
      <c r="A6" s="4" t="inlineStr">
        <is>
          <t>Q2</t>
        </is>
      </c>
      <c r="B6" s="4" t="inlineStr"/>
      <c r="C6" s="6" t="inlineStr">
        <is>
          <t>Cardioversion · 19-23 / 24-29 / 30-36kg 열</t>
        </is>
      </c>
      <c r="D6" s="4" t="inlineStr">
        <is>
          <t>★ 앱에 심율동전환 자체가 없음 (제세동만 탑재)</t>
        </is>
      </c>
      <c r="E6" s="7" t="inlineStr">
        <is>
          <t>21J/42J · 27J/53J · 33J/66J</t>
        </is>
      </c>
      <c r="F6" s="4" t="inlineStr">
        <is>
          <t>H + 검산</t>
        </is>
      </c>
      <c r="G6" s="7" t="inlineStr">
        <is>
          <t>표 기재 = 40J/80J · 53J/106J · 66J/132J 로 바로 윗줄 제세동 값과 완전히 동일. 나머지 8개 열에서는 제세동의 정확히 1/2 (1J/kg → 2J/kg)</t>
        </is>
      </c>
      <c r="H6" s="8" t="inlineStr"/>
      <c r="I6" s="8" t="inlineStr"/>
      <c r="J6" s="4" t="inlineStr"/>
    </row>
    <row r="7" ht="39" customHeight="1">
      <c r="A7" s="4" t="inlineStr">
        <is>
          <t>Q3</t>
        </is>
      </c>
      <c r="B7" s="4" t="inlineStr"/>
      <c r="C7" s="6" t="inlineStr">
        <is>
          <t>Epinephrine ET 행 라벨</t>
        </is>
      </c>
      <c r="D7" s="4" t="inlineStr">
        <is>
          <t>★ 앱에 ET(기관내) 투여 경로가 없음</t>
        </is>
      </c>
      <c r="E7" s="7" t="inlineStr">
        <is>
          <t>행 이름을 1:1,000 으로 정정</t>
        </is>
      </c>
      <c r="F7" s="4" t="inlineStr">
        <is>
          <t>H + 검산</t>
        </is>
      </c>
      <c r="G7" s="7" t="inlineStr">
        <is>
          <t>mg÷ml 역산 시 11개 열 전부 1.00mg/ml = 1:1,000. 라벨은 1:10,000. 라벨대로 1:10,000을 조제해 표의 ml을 투여하면 실제 용량의 1/10</t>
        </is>
      </c>
      <c r="H7" s="8" t="inlineStr"/>
      <c r="I7" s="8" t="inlineStr"/>
      <c r="J7" s="4" t="inlineStr"/>
    </row>
    <row r="8" ht="34" customHeight="1">
      <c r="A8" s="4" t="inlineStr">
        <is>
          <t>Q1-추가①</t>
        </is>
      </c>
      <c r="B8" s="4" t="inlineStr"/>
      <c r="C8" s="4" t="inlineStr">
        <is>
          <t>Ketamine · 3 / 4 / 5kg 열</t>
        </is>
      </c>
      <c r="D8" s="4" t="inlineStr">
        <is>
          <t>해당 없음</t>
        </is>
      </c>
      <c r="E8" s="7" t="inlineStr"/>
      <c r="F8" s="4" t="inlineStr">
        <is>
          <t>H</t>
        </is>
      </c>
      <c r="G8" s="7" t="inlineStr">
        <is>
          <t>표에 빈칸 — 해당 체중에서 사용하지 않는다는 뜻입니까, 누락입니까?</t>
        </is>
      </c>
      <c r="H8" s="8" t="inlineStr"/>
      <c r="I8" s="8" t="inlineStr"/>
      <c r="J8" s="4" t="inlineStr"/>
    </row>
    <row r="9" ht="34" customHeight="1">
      <c r="A9" s="4" t="inlineStr">
        <is>
          <t>Q1-추가②</t>
        </is>
      </c>
      <c r="B9" s="4" t="inlineStr"/>
      <c r="C9" s="4" t="inlineStr">
        <is>
          <t>Intraosseous (IO) · 3 / 4 / 5kg 열</t>
        </is>
      </c>
      <c r="D9" s="4" t="inlineStr">
        <is>
          <t>앱에 「확인 필요」로 비워 둠</t>
        </is>
      </c>
      <c r="E9" s="7" t="inlineStr"/>
      <c r="F9" s="4" t="inlineStr">
        <is>
          <t>H</t>
        </is>
      </c>
      <c r="G9" s="7" t="inlineStr">
        <is>
          <t>표에 「?」 — 해당 체중 IO 바늘 규격</t>
        </is>
      </c>
      <c r="H9" s="8" t="inlineStr"/>
      <c r="I9" s="8" t="inlineStr"/>
      <c r="J9" s="4" t="inlineStr"/>
    </row>
    <row r="10" ht="34" customHeight="1">
      <c r="A10" s="4" t="inlineStr">
        <is>
          <t>Q1-추가③</t>
        </is>
      </c>
      <c r="B10" s="4" t="inlineStr"/>
      <c r="C10" s="4" t="inlineStr">
        <is>
          <t>Succinylcholine · 15-18kg 열</t>
        </is>
      </c>
      <c r="D10" s="4" t="inlineStr">
        <is>
          <t>원내 미보유로 앱에서 제외</t>
        </is>
      </c>
      <c r="E10" s="7" t="inlineStr">
        <is>
          <t>패턴상 33mg</t>
        </is>
      </c>
      <c r="F10" s="4" t="inlineStr">
        <is>
          <t>H + 검산</t>
        </is>
      </c>
      <c r="G10" s="7" t="inlineStr">
        <is>
          <t>표 기재 30mg — 의도된 값입니까? (원내 미보유라 앱 반영 계획은 없음)</t>
        </is>
      </c>
      <c r="H10" s="8" t="inlineStr"/>
      <c r="I10" s="8" t="inlineStr"/>
      <c r="J10" s="4" t="inlineStr"/>
    </row>
    <row r="11" ht="45" customHeight="1">
      <c r="A11" s="4" t="inlineStr">
        <is>
          <t>Q4</t>
        </is>
      </c>
      <c r="B11" s="5" t="inlineStr">
        <is>
          <t>② 자료 간 값이 달라 못 고름</t>
        </is>
      </c>
      <c r="C11" s="4" t="inlineStr">
        <is>
          <t>Methylprednisolone</t>
        </is>
      </c>
      <c r="D11" s="4" t="inlineStr">
        <is>
          <t>「원내 값 지정」으로 비워 둠</t>
        </is>
      </c>
      <c r="E11" s="7" t="inlineStr">
        <is>
          <t>A: 1~2mg/kg (max 125mg)
B: 1~2mg/kg/day (max 60mg/day)
C: 2mg/kg ×1 → 0.5~1mg/kg q6h (max 60mg/day, &lt;12세)</t>
        </is>
      </c>
      <c r="F11" s="4" t="inlineStr">
        <is>
          <t>A·B·C</t>
        </is>
      </c>
      <c r="G11" s="7" t="inlineStr">
        <is>
          <t>초회 용량과 최대치가 모두 다름. 원내 Predisol 125mg vial (Hydrocortisone 미보유 → 대체 사용)</t>
        </is>
      </c>
      <c r="H11" s="8" t="inlineStr"/>
      <c r="I11" s="8" t="inlineStr"/>
      <c r="J11" s="4" t="inlineStr"/>
    </row>
    <row r="12" ht="34" customHeight="1">
      <c r="A12" s="4" t="inlineStr">
        <is>
          <t>Q5</t>
        </is>
      </c>
      <c r="B12" s="4" t="inlineStr"/>
      <c r="C12" s="4" t="inlineStr">
        <is>
          <t>Famotidine</t>
        </is>
      </c>
      <c r="D12" s="4" t="inlineStr">
        <is>
          <t>「원내 값 지정」으로 비워 둠</t>
        </is>
      </c>
      <c r="E12" s="7" t="inlineStr">
        <is>
          <t>A: 0.5~1mg/kg (max 50mg)
B: 0.25mg/kg (max 40mg/day)</t>
        </is>
      </c>
      <c r="F12" s="4" t="inlineStr">
        <is>
          <t>A·B</t>
        </is>
      </c>
      <c r="G12" s="7" t="inlineStr">
        <is>
          <t>2~4배 차이. 원내 Gaster 20mg vial</t>
        </is>
      </c>
      <c r="H12" s="8" t="inlineStr"/>
      <c r="I12" s="8" t="inlineStr"/>
      <c r="J12" s="4" t="inlineStr"/>
    </row>
    <row r="13" ht="45" customHeight="1">
      <c r="A13" s="4" t="inlineStr">
        <is>
          <t>Q6</t>
        </is>
      </c>
      <c r="B13" s="4" t="inlineStr"/>
      <c r="C13" s="4" t="inlineStr">
        <is>
          <t>Diazepam (경련)</t>
        </is>
      </c>
      <c r="D13" s="4" t="inlineStr">
        <is>
          <t>「원내 값 지정」으로 비워 둠</t>
        </is>
      </c>
      <c r="E13" s="7" t="inlineStr">
        <is>
          <t>A: PR 0.5mg/kg (max 20mg)
B: IV 0.1~0.3mg/kg (max 10mg)
C: IV 0.1~0.2mg/kg (max 10mg)</t>
        </is>
      </c>
      <c r="F13" s="4" t="inlineStr">
        <is>
          <t>A·B·C</t>
        </is>
      </c>
      <c r="G13" s="7" t="inlineStr">
        <is>
          <t>투여경로(PR ↔ IV)와 용량이 모두 다름. 원내는 IV 제형(10mg/2mL)만 보유</t>
        </is>
      </c>
      <c r="H13" s="8" t="inlineStr"/>
      <c r="I13" s="8" t="inlineStr"/>
      <c r="J13" s="4" t="inlineStr"/>
    </row>
    <row r="14" ht="39" customHeight="1">
      <c r="A14" s="4" t="inlineStr">
        <is>
          <t>Q7</t>
        </is>
      </c>
      <c r="B14" s="4" t="inlineStr"/>
      <c r="C14" s="4" t="inlineStr">
        <is>
          <t>Ipratropium 네뷸라이저</t>
        </is>
      </c>
      <c r="D14" s="4" t="inlineStr">
        <is>
          <t>「확인 필요」로 비워 둠</t>
        </is>
      </c>
      <c r="E14" s="7" t="inlineStr">
        <is>
          <t>C: Duoneb(Albuterol+Ipratropium 조합제) 3mL q20분 ×3</t>
        </is>
      </c>
      <c r="F14" s="4" t="inlineStr">
        <is>
          <t>C</t>
        </is>
      </c>
      <c r="G14" s="7" t="inlineStr">
        <is>
          <t>★ 참고 자료는 조합 제형 기준인데 원내는 Atrovent UDV 500mcg/2mL 단독 제형 — 조합제 용량을 그대로 쓸 수 없음. 단독 제형 소아 용량 지정 필요</t>
        </is>
      </c>
      <c r="H14" s="8" t="inlineStr"/>
      <c r="I14" s="8" t="inlineStr"/>
      <c r="J14" s="4" t="inlineStr"/>
    </row>
    <row r="15" ht="39" customHeight="1">
      <c r="A15" s="4" t="inlineStr">
        <is>
          <t>Q8</t>
        </is>
      </c>
      <c r="B15" s="5" t="inlineStr">
        <is>
          <t>③ 표준표에 없어 근거 미확보</t>
        </is>
      </c>
      <c r="C15" s="4" t="inlineStr">
        <is>
          <t>Budesonide (Pulmicort respule)</t>
        </is>
      </c>
      <c r="D15" s="4" t="inlineStr">
        <is>
          <t>「확인 필요」로 비워 둠</t>
        </is>
      </c>
      <c r="E15" s="7" t="inlineStr"/>
      <c r="F15" s="4" t="inlineStr">
        <is>
          <t>—</t>
        </is>
      </c>
      <c r="G15" s="7" t="inlineStr">
        <is>
          <t>B·C 표에 없음. 크룹·천식 RCT에 2mg 사용례가 있으나 표준 투약표 근거가 아니라 채우지 않았음. 원내 Pulmicort respule 0.5mg/2mL 보유 — 원내 크룹에 사용합니까?</t>
        </is>
      </c>
      <c r="H15" s="8" t="inlineStr"/>
      <c r="I15" s="8" t="inlineStr"/>
      <c r="J15" s="4" t="inlineStr"/>
    </row>
    <row r="16" ht="34" customHeight="1">
      <c r="A16" s="4" t="inlineStr">
        <is>
          <t>Q9</t>
        </is>
      </c>
      <c r="B16" s="4" t="inlineStr"/>
      <c r="C16" s="4" t="inlineStr">
        <is>
          <t>Acetylcysteine (Mucomyst)</t>
        </is>
      </c>
      <c r="D16" s="4" t="inlineStr">
        <is>
          <t>앱 해독 탭에 성인 150mg/kg loading 만 있음</t>
        </is>
      </c>
      <c r="E16" s="7" t="inlineStr"/>
      <c r="F16" s="4" t="inlineStr">
        <is>
          <t>—</t>
        </is>
      </c>
      <c r="G16" s="7" t="inlineStr">
        <is>
          <t>소아 용량 미확보. 원내 Mucomyst 20% 4mL 보유. 소아 아세트아미노펜 중독 프로토콜 필요</t>
        </is>
      </c>
      <c r="H16" s="8" t="inlineStr"/>
      <c r="I16" s="8" t="inlineStr"/>
      <c r="J16" s="4" t="inlineStr"/>
    </row>
    <row r="17" ht="34" customHeight="1">
      <c r="A17" s="4" t="inlineStr">
        <is>
          <t>Q10</t>
        </is>
      </c>
      <c r="B17" s="4" t="inlineStr"/>
      <c r="C17" s="4" t="inlineStr">
        <is>
          <t>Potassium chloride</t>
        </is>
      </c>
      <c r="D17" s="4" t="inlineStr">
        <is>
          <t>「확인 필요」로 비워 둠</t>
        </is>
      </c>
      <c r="E17" s="7" t="inlineStr"/>
      <c r="F17" s="4" t="inlineStr">
        <is>
          <t>—</t>
        </is>
      </c>
      <c r="G17" s="7" t="inlineStr">
        <is>
          <t>소아 응급 표준표에 없음(원내 희석 프로토콜 사안). 원내 KCl 15% 40mEq/20mL. ★ 반드시 희석 후 투여</t>
        </is>
      </c>
      <c r="H17" s="8" t="inlineStr"/>
      <c r="I17" s="8" t="inlineStr"/>
      <c r="J17" s="4" t="inlineStr"/>
    </row>
    <row r="18" ht="39" customHeight="1">
      <c r="A18" s="4" t="inlineStr">
        <is>
          <t>Q11</t>
        </is>
      </c>
      <c r="B18" s="4" t="inlineStr"/>
      <c r="C18" s="4" t="inlineStr">
        <is>
          <t>Vasopressin</t>
        </is>
      </c>
      <c r="D18" s="4" t="inlineStr">
        <is>
          <t>「확인 필요」로 비워 둠</t>
        </is>
      </c>
      <c r="E18" s="7" t="inlineStr"/>
      <c r="F18" s="4" t="inlineStr">
        <is>
          <t>B·C</t>
        </is>
      </c>
      <c r="G18" s="7" t="inlineStr">
        <is>
          <t>PALS가 소아 심정지 일상 권고로 두지 않음 → B·C 표에 없음. ★ 앱에서 행을 삭제해도 되겠습니까? 원내 Ssopresin 20unit/1mL 비품 6</t>
        </is>
      </c>
      <c r="H18" s="8" t="inlineStr"/>
      <c r="I18" s="8" t="inlineStr"/>
      <c r="J18" s="4" t="inlineStr"/>
    </row>
    <row r="19" ht="34" customHeight="1">
      <c r="A19" s="4" t="inlineStr">
        <is>
          <t>Q12</t>
        </is>
      </c>
      <c r="B19" s="4" t="inlineStr"/>
      <c r="C19" s="4" t="inlineStr">
        <is>
          <t>Lacosamide (Vimsk)</t>
        </is>
      </c>
      <c r="D19" s="4" t="inlineStr">
        <is>
          <t>「확인 필요」로 비워 둠</t>
        </is>
      </c>
      <c r="E19" s="7" t="inlineStr"/>
      <c r="F19" s="4" t="inlineStr">
        <is>
          <t>—</t>
        </is>
      </c>
      <c r="G19" s="7" t="inlineStr">
        <is>
          <t>B·C 표에 없음. 원내 Vimsk 200mg/20mL 응급실 비치 — 소아 경련에 사용합니까?</t>
        </is>
      </c>
      <c r="H19" s="8" t="inlineStr"/>
      <c r="I19" s="8" t="inlineStr"/>
      <c r="J19" s="4" t="inlineStr"/>
    </row>
    <row r="20" ht="34" customHeight="1">
      <c r="A20" s="4" t="inlineStr">
        <is>
          <t>Q13</t>
        </is>
      </c>
      <c r="B20" s="5" t="inlineStr">
        <is>
          <t>④ 현재 앱 값이 어긋남</t>
        </is>
      </c>
      <c r="C20" s="4" t="inlineStr">
        <is>
          <t>Ketorolac</t>
        </is>
      </c>
      <c r="D20" s="4" t="inlineStr">
        <is>
          <t>0.5mg/kg · max 30mg</t>
        </is>
      </c>
      <c r="E20" s="7" t="inlineStr">
        <is>
          <t>B: 0.5mg/kg · max 15mg/회</t>
        </is>
      </c>
      <c r="F20" s="4" t="inlineStr">
        <is>
          <t>A·B</t>
        </is>
      </c>
      <c r="G20" s="7" t="inlineStr">
        <is>
          <t>max 2배 차이 (A는 30mg)</t>
        </is>
      </c>
      <c r="H20" s="8" t="inlineStr"/>
      <c r="I20" s="8" t="inlineStr"/>
      <c r="J20" s="4" t="inlineStr"/>
    </row>
    <row r="21" ht="34" customHeight="1">
      <c r="A21" s="4" t="inlineStr">
        <is>
          <t>Q14</t>
        </is>
      </c>
      <c r="B21" s="4" t="inlineStr"/>
      <c r="C21" s="4" t="inlineStr">
        <is>
          <t>Ondansetron</t>
        </is>
      </c>
      <c r="D21" s="4" t="inlineStr">
        <is>
          <t>0.15mg/kg · max 8mg</t>
        </is>
      </c>
      <c r="E21" s="7" t="inlineStr">
        <is>
          <t>B: 0.1mg/kg (&lt;40kg)</t>
        </is>
      </c>
      <c r="F21" s="4" t="inlineStr">
        <is>
          <t>A·B</t>
        </is>
      </c>
      <c r="G21" s="7" t="inlineStr">
        <is>
          <t>A는 0.15mg/kg</t>
        </is>
      </c>
      <c r="H21" s="8" t="inlineStr"/>
      <c r="I21" s="8" t="inlineStr"/>
      <c r="J21" s="4" t="inlineStr"/>
    </row>
    <row r="22" ht="34" customHeight="1">
      <c r="A22" s="4" t="inlineStr">
        <is>
          <t>Q15</t>
        </is>
      </c>
      <c r="B22" s="4" t="inlineStr"/>
      <c r="C22" s="6" t="inlineStr">
        <is>
          <t>Midazolam (진정)</t>
        </is>
      </c>
      <c r="D22" s="4" t="inlineStr">
        <is>
          <t>0.05~0.1mg/kg · ★ 상한 없음</t>
        </is>
      </c>
      <c r="E22" s="7" t="inlineStr">
        <is>
          <t>B: max 2mg
A: max 5mg</t>
        </is>
      </c>
      <c r="F22" s="4" t="inlineStr">
        <is>
          <t>A·B</t>
        </is>
      </c>
      <c r="G22" s="7" t="inlineStr">
        <is>
          <t>★ 앱에 상한이 아예 없다 — 안전장치 부재. 원내 5mg/5mL · 15mg/3mL 두 규격</t>
        </is>
      </c>
      <c r="H22" s="8" t="inlineStr"/>
      <c r="I22" s="8" t="inlineStr"/>
      <c r="J22" s="4" t="inlineStr"/>
    </row>
    <row r="23" ht="34" customHeight="1">
      <c r="A23" s="4" t="inlineStr">
        <is>
          <t>Q16</t>
        </is>
      </c>
      <c r="B23" s="4" t="inlineStr"/>
      <c r="C23" s="6" t="inlineStr">
        <is>
          <t>Atropine</t>
        </is>
      </c>
      <c r="D23" s="4" t="inlineStr">
        <is>
          <t>1회 max 0.5mg · ★ 총 최대치 없음</t>
        </is>
      </c>
      <c r="E23" s="7" t="inlineStr">
        <is>
          <t>B: 1회 max 0.5mg + 총 최대 소아 1mg / 청소년 3mg</t>
        </is>
      </c>
      <c r="F23" s="4" t="inlineStr">
        <is>
          <t>B</t>
        </is>
      </c>
      <c r="G23" s="7" t="inlineStr">
        <is>
          <t>★ 앱에 총 최대치가 없다 — 반복 투여 시 상한 없음</t>
        </is>
      </c>
      <c r="H23" s="8" t="inlineStr"/>
      <c r="I23" s="8" t="inlineStr"/>
      <c r="J23" s="4" t="inlineStr"/>
    </row>
    <row r="24" ht="34" customHeight="1">
      <c r="A24" s="4" t="inlineStr">
        <is>
          <t>Q17</t>
        </is>
      </c>
      <c r="B24" s="4" t="inlineStr"/>
      <c r="C24" s="4" t="inlineStr">
        <is>
          <t>Rocuronium</t>
        </is>
      </c>
      <c r="D24" s="4" t="inlineStr">
        <is>
          <t>1.2mg/kg</t>
        </is>
      </c>
      <c r="E24" s="7" t="inlineStr">
        <is>
          <t>B: 1mg/kg (max 100mg)
H: 1mg/kg</t>
        </is>
      </c>
      <c r="F24" s="4" t="inlineStr">
        <is>
          <t>B·H</t>
        </is>
      </c>
      <c r="G24" s="7" t="inlineStr">
        <is>
          <t>병원 컨펌표와 UNC 모두 1mg/kg — 앱만 1.2mg/kg. 원내 응급실 유일 근이완제</t>
        </is>
      </c>
      <c r="H24" s="8" t="inlineStr"/>
      <c r="I24" s="8" t="inlineStr"/>
      <c r="J24" s="4" t="inlineStr"/>
    </row>
    <row r="25" ht="34" customHeight="1">
      <c r="A25" s="4" t="inlineStr">
        <is>
          <t>Q18</t>
        </is>
      </c>
      <c r="B25" s="4" t="inlineStr"/>
      <c r="C25" s="4" t="inlineStr">
        <is>
          <t>Dexamethasone</t>
        </is>
      </c>
      <c r="D25" s="4" t="inlineStr">
        <is>
          <t>항구토 0.15mg/kg · max 10mg (크룹 적응증 없음)</t>
        </is>
      </c>
      <c r="E25" s="7" t="inlineStr">
        <is>
          <t>크룹: 0.6mg/kg · max 16mg</t>
        </is>
      </c>
      <c r="F25" s="4" t="inlineStr">
        <is>
          <t>B·C</t>
        </is>
      </c>
      <c r="G25" s="7" t="inlineStr">
        <is>
          <t>★ 크룹 용량이 앱에 없다 — 추가할까요? 원내 5mg/1mL</t>
        </is>
      </c>
      <c r="H25" s="8" t="inlineStr"/>
      <c r="I25" s="8" t="inlineStr"/>
      <c r="J25" s="4" t="inlineStr"/>
    </row>
    <row r="26" ht="34" customHeight="1">
      <c r="A26" s="4" t="inlineStr">
        <is>
          <t>Q19</t>
        </is>
      </c>
      <c r="B26" s="4" t="inlineStr"/>
      <c r="C26" s="4" t="inlineStr">
        <is>
          <t>유지수액 공식</t>
        </is>
      </c>
      <c r="D26" s="4" t="inlineStr">
        <is>
          <t>Holliday-Segar</t>
        </is>
      </c>
      <c r="E26" s="7" t="inlineStr">
        <is>
          <t>C: 4-2-1 rule</t>
        </is>
      </c>
      <c r="F26" s="4" t="inlineStr">
        <is>
          <t>C</t>
        </is>
      </c>
      <c r="G26" s="7" t="inlineStr">
        <is>
          <t>✅ 동일 공식 — 확인만 부탁드립니다</t>
        </is>
      </c>
      <c r="H26" s="8" t="inlineStr"/>
      <c r="I26" s="8" t="inlineStr"/>
      <c r="J26" s="4" t="inlineStr"/>
    </row>
    <row r="27" ht="52" customHeight="1">
      <c r="A27" s="4" t="inlineStr">
        <is>
          <t>Q20</t>
        </is>
      </c>
      <c r="B27" s="5" t="inlineStr">
        <is>
          <t>⑤ 염·희석 임상 판단 (약제부 공동)</t>
        </is>
      </c>
      <c r="C27" s="6" t="inlineStr">
        <is>
          <t>칼슘</t>
        </is>
      </c>
      <c r="D27" s="4" t="inlineStr">
        <is>
          <t>Calcium gluconate 60mg/kg</t>
        </is>
      </c>
      <c r="E27" s="7" t="inlineStr"/>
      <c r="F27" s="4" t="inlineStr">
        <is>
          <t>H·S + 칩스 확인</t>
        </is>
      </c>
      <c r="G27" s="7" t="inlineStr">
        <is>
          <t>★ 컨펌표는 Calcium chloride 20mg/kg 기준인데 원내는 Ca gluconate 10% 2g/20mL 단독 보유(CaCl₂ 미비치). 두 염은 원소칼슘이 약 3배 차이 (CaCl₂ 27% ↔ gluconate 9%). 원내 기준 mg/kg 지정 필요</t>
        </is>
      </c>
      <c r="H27" s="8" t="inlineStr"/>
      <c r="I27" s="8" t="inlineStr"/>
      <c r="J27" s="4" t="inlineStr"/>
    </row>
    <row r="28" ht="39" customHeight="1">
      <c r="A28" s="4" t="inlineStr">
        <is>
          <t>Q21</t>
        </is>
      </c>
      <c r="B28" s="4" t="inlineStr"/>
      <c r="C28" s="4" t="inlineStr">
        <is>
          <t>Sodium bicarbonate</t>
        </is>
      </c>
      <c r="D28" s="4" t="inlineStr">
        <is>
          <t>1mEq/kg</t>
        </is>
      </c>
      <c r="E28" s="7" t="inlineStr"/>
      <c r="F28" s="4" t="inlineStr">
        <is>
          <t>H·S</t>
        </is>
      </c>
      <c r="G28" s="7" t="inlineStr">
        <is>
          <t>컨펌표는 4.2% 전제, 원내는 8.4% 20mEq/20mL. mEq는 같으나 투여 부피가 절반. 소아에게 4.2%로 희석합니까, 8.4% 그대로입니까?</t>
        </is>
      </c>
      <c r="H28" s="8" t="inlineStr"/>
      <c r="I28" s="8" t="inlineStr"/>
      <c r="J28" s="4" t="inlineStr"/>
    </row>
    <row r="29" ht="39" customHeight="1">
      <c r="A29" s="4" t="inlineStr">
        <is>
          <t>Q22</t>
        </is>
      </c>
      <c r="B29" s="4" t="inlineStr"/>
      <c r="C29" s="6" t="inlineStr">
        <is>
          <t>Atropine 희석</t>
        </is>
      </c>
      <c r="D29" s="4" t="inlineStr">
        <is>
          <t>0.02mg/kg (min 0.1mg · max 0.5mg)</t>
        </is>
      </c>
      <c r="E29" s="7" t="inlineStr"/>
      <c r="F29" s="4" t="inlineStr">
        <is>
          <t>H·S</t>
        </is>
      </c>
      <c r="G29" s="7" t="inlineStr">
        <is>
          <t>★ 컨펌표는 0.1mg/ml 전제, 원내는 0.5mg/1mL. 재고 앰플로 표의 ml을 그대로 뽑으면 5배 과량. 희석액을 별도 조제합니까, 원액 기준으로 ml을 재계산합니까?</t>
        </is>
      </c>
      <c r="H29" s="8" t="inlineStr"/>
      <c r="I29" s="8" t="inlineStr"/>
      <c r="J29" s="4" t="inlineStr"/>
    </row>
    <row r="30" ht="34" customHeight="1">
      <c r="A30" s="4" t="inlineStr">
        <is>
          <t>Q23</t>
        </is>
      </c>
      <c r="B30" s="5" t="inlineStr">
        <is>
          <t>⑥ 수액 상한 — 자료 미확보</t>
        </is>
      </c>
      <c r="C30" s="4" t="inlineStr">
        <is>
          <t>1회 볼루스 상한</t>
        </is>
      </c>
      <c r="D30" s="4" t="inlineStr">
        <is>
          <t>저혈량/아나필락시스 20ml/kg · 패혈증 10-20 · 심인성 5-10</t>
        </is>
      </c>
      <c r="E30" s="7" t="inlineStr">
        <is>
          <t>등장액 10~20ml/kg</t>
        </is>
      </c>
      <c r="F30" s="4" t="inlineStr">
        <is>
          <t>A·C</t>
        </is>
      </c>
      <c r="G30" s="7" t="inlineStr">
        <is>
          <t>★ 병원 컨펌 파일에 수액 항목이 아예 없음. 원내 기준 ml/kg 지정 필요</t>
        </is>
      </c>
      <c r="H30" s="8" t="inlineStr"/>
      <c r="I30" s="8" t="inlineStr"/>
      <c r="J30" s="4" t="inlineStr"/>
    </row>
    <row r="31" ht="34" customHeight="1">
      <c r="A31" s="4" t="inlineStr">
        <is>
          <t>Q24</t>
        </is>
      </c>
      <c r="B31" s="4" t="inlineStr"/>
      <c r="C31" s="4" t="inlineStr">
        <is>
          <t>누적 볼루스 상한</t>
        </is>
      </c>
      <c r="D31" s="4" t="inlineStr">
        <is>
          <t>쇼크 전략표에 「총 60ml/kg」 문구만 있고 누적 트래커 없음</t>
        </is>
      </c>
      <c r="E31" s="7" t="inlineStr">
        <is>
          <t>60ml/kg 후 강심제 고려</t>
        </is>
      </c>
      <c r="F31" s="4" t="inlineStr">
        <is>
          <t>A·C</t>
        </is>
      </c>
      <c r="G31" s="7" t="inlineStr">
        <is>
          <t>상한값과 그 이후 경로 지정 필요 — 확정되면 앱에 누적 트래커 탑재</t>
        </is>
      </c>
      <c r="H31" s="8" t="inlineStr"/>
      <c r="I31" s="8" t="inlineStr"/>
      <c r="J31" s="4" t="inlineStr"/>
    </row>
    <row r="32" ht="34" customHeight="1">
      <c r="A32" s="4" t="inlineStr">
        <is>
          <t>Q25</t>
        </is>
      </c>
      <c r="B32" s="4" t="inlineStr"/>
      <c r="C32" s="4" t="inlineStr">
        <is>
          <t>볼루스 감량 대상</t>
        </is>
      </c>
      <c r="D32" s="4" t="inlineStr">
        <is>
          <t>심인성 쇼크 5-10ml/kg 만 반영</t>
        </is>
      </c>
      <c r="E32" s="7" t="inlineStr">
        <is>
          <t>심근염 · DKA · 중증영양실조는 5~10ml/kg</t>
        </is>
      </c>
      <c r="F32" s="4" t="inlineStr">
        <is>
          <t>C</t>
        </is>
      </c>
      <c r="G32" s="7" t="inlineStr">
        <is>
          <t>원내에 별도 감량 기준이 있습니까?</t>
        </is>
      </c>
      <c r="H32" s="8" t="inlineStr"/>
      <c r="I32" s="8" t="inlineStr"/>
      <c r="J32" s="4" t="inlineStr"/>
    </row>
    <row r="33" ht="34" customHeight="1">
      <c r="A33" s="4" t="inlineStr">
        <is>
          <t>Q26</t>
        </is>
      </c>
      <c r="B33" s="4" t="inlineStr"/>
      <c r="C33" s="4" t="inlineStr">
        <is>
          <t>DKA 초기 볼루스</t>
        </is>
      </c>
      <c r="D33" s="4" t="inlineStr">
        <is>
          <t>10-20ml/kg</t>
        </is>
      </c>
      <c r="E33" s="7" t="inlineStr">
        <is>
          <t>C: 10ml/kg 단일</t>
        </is>
      </c>
      <c r="F33" s="4" t="inlineStr">
        <is>
          <t>C</t>
        </is>
      </c>
      <c r="G33" s="7" t="inlineStr">
        <is>
          <t>어느 쪽입니까? ★ 인슐린·중탄산은 볼루스 금기 (C)</t>
        </is>
      </c>
      <c r="H33" s="8" t="inlineStr"/>
      <c r="I33" s="8" t="inlineStr"/>
      <c r="J33" s="4" t="inlineStr"/>
    </row>
    <row r="34" ht="39" customHeight="1">
      <c r="A34" s="4" t="inlineStr">
        <is>
          <t>Q27</t>
        </is>
      </c>
      <c r="B34" s="5" t="inlineStr">
        <is>
          <t>⑦ 소아 지속주입 (CIV)</t>
        </is>
      </c>
      <c r="C34" s="6" t="inlineStr">
        <is>
          <t>Norepinephrine — 농도</t>
        </is>
      </c>
      <c r="D34" s="4" t="inlineStr">
        <is>
          <t>★ 계산 불가 (앱에 「확인 필요」)</t>
        </is>
      </c>
      <c r="E34" s="7" t="inlineStr">
        <is>
          <t>용량 범위 0.05~1 mcg/kg/min</t>
        </is>
      </c>
      <c r="F34" s="4" t="inlineStr">
        <is>
          <t>A·C</t>
        </is>
      </c>
      <c r="G34" s="7" t="inlineStr">
        <is>
          <t>★ 농도 충돌 — 설계서는 소아 16mcg/mL, 성인 V4는 20mcg/mL로 확정. 소아도 20mcg/mL로 통일합니까? 원내 Norpin 4mg/4mL</t>
        </is>
      </c>
      <c r="H34" s="8" t="inlineStr"/>
      <c r="I34" s="8" t="inlineStr"/>
      <c r="J34" s="4" t="inlineStr"/>
    </row>
    <row r="35" ht="34" customHeight="1">
      <c r="A35" s="4" t="inlineStr">
        <is>
          <t>Q28</t>
        </is>
      </c>
      <c r="B35" s="4" t="inlineStr"/>
      <c r="C35" s="4" t="inlineStr">
        <is>
          <t>Dobutamine — 용량 범위</t>
        </is>
      </c>
      <c r="D35" s="4" t="inlineStr">
        <is>
          <t>★ 계산 불가 (농도는 확정, 범위 미정)</t>
        </is>
      </c>
      <c r="E35" s="7" t="inlineStr">
        <is>
          <t>농도 2,000mcg/mL (DoBUtamine/D5W 500mg/250mL 프리믹스)</t>
        </is>
      </c>
      <c r="F35" s="4" t="inlineStr">
        <is>
          <t>S</t>
        </is>
      </c>
      <c r="G35" s="7" t="inlineStr">
        <is>
          <t>C에 소아 용량 범위 표기가 없음. 범위(mcg/kg/min)만 지정되면 즉시 계산 가능</t>
        </is>
      </c>
      <c r="H35" s="8" t="inlineStr"/>
      <c r="I35" s="8" t="inlineStr"/>
      <c r="J35" s="4" t="inlineStr"/>
    </row>
    <row r="36" ht="34" customHeight="1">
      <c r="A36" s="4" t="inlineStr">
        <is>
          <t>Q29</t>
        </is>
      </c>
      <c r="B36" s="4" t="inlineStr"/>
      <c r="C36" s="4" t="inlineStr">
        <is>
          <t>Epinephrine — 희석법</t>
        </is>
      </c>
      <c r="D36" s="4" t="inlineStr">
        <is>
          <t>★ 계산 불가 (앱에 「확인 필요」)</t>
        </is>
      </c>
      <c r="E36" s="7" t="inlineStr">
        <is>
          <t>용량 범위 0.01~0.1 mcg/kg/min (쇼크)</t>
        </is>
      </c>
      <c r="F36" s="4" t="inlineStr">
        <is>
          <t>C</t>
        </is>
      </c>
      <c r="G36" s="7" t="inlineStr">
        <is>
          <t>원내는 1mg/1mL 앰플만 보유 — 소아용 지속주입 희석 농도가 없어 ml/hr을 낼 수 없음</t>
        </is>
      </c>
      <c r="H36" s="8" t="inlineStr"/>
      <c r="I36" s="8" t="inlineStr"/>
      <c r="J36" s="4" t="inlineStr"/>
    </row>
    <row r="37" ht="34" customHeight="1">
      <c r="A37" s="4" t="inlineStr">
        <is>
          <t>참고</t>
        </is>
      </c>
      <c r="B37" s="4" t="inlineStr"/>
      <c r="C37" s="4" t="inlineStr">
        <is>
          <t>Dopamine</t>
        </is>
      </c>
      <c r="D37" s="4" t="inlineStr">
        <is>
          <t>✅ 계산 중 — 2·5·10·15·20 mcg/kg/min 눈금표</t>
        </is>
      </c>
      <c r="E37" s="7" t="inlineStr">
        <is>
          <t>농도 2,000mcg/mL (Dopamix 400mg/200mL 프리믹스)
범위 2~20 mcg/kg/min</t>
        </is>
      </c>
      <c r="F37" s="4" t="inlineStr">
        <is>
          <t>S·C</t>
        </is>
      </c>
      <c r="G37" s="7" t="inlineStr">
        <is>
          <t>자료가 일치해 이미 반영했습니다 — 확인만 부탁드립니다</t>
        </is>
      </c>
      <c r="H37" s="8" t="inlineStr"/>
      <c r="I37" s="8" t="inlineStr"/>
      <c r="J37" s="4" t="inlineStr"/>
    </row>
    <row r="38" ht="34" customHeight="1">
      <c r="A38" s="4" t="inlineStr">
        <is>
          <t>기타①</t>
        </is>
      </c>
      <c r="B38" s="5" t="inlineStr">
        <is>
          <t>⑧ 그 밖에</t>
        </is>
      </c>
      <c r="C38" s="4" t="inlineStr">
        <is>
          <t>3% 고장성 식염수</t>
        </is>
      </c>
      <c r="D38" s="4" t="inlineStr">
        <is>
          <t>앱 미탑재</t>
        </is>
      </c>
      <c r="E38" s="7" t="inlineStr">
        <is>
          <t>두개내압 상승 시 3ml/kg (범위 2~5), 15~30분</t>
        </is>
      </c>
      <c r="F38" s="4" t="inlineStr">
        <is>
          <t>C</t>
        </is>
      </c>
      <c r="G38" s="7" t="inlineStr">
        <is>
          <t>원내 보유·사용 여부 확인 대기</t>
        </is>
      </c>
      <c r="H38" s="8" t="inlineStr"/>
      <c r="I38" s="8" t="inlineStr"/>
      <c r="J38" s="4" t="inlineStr"/>
    </row>
    <row r="39" ht="34" customHeight="1">
      <c r="A39" s="4" t="inlineStr">
        <is>
          <t>기타②</t>
        </is>
      </c>
      <c r="B39" s="4" t="inlineStr"/>
      <c r="C39" s="4" t="inlineStr">
        <is>
          <t>Racemic epinephrine</t>
        </is>
      </c>
      <c r="D39" s="4" t="inlineStr">
        <is>
          <t>앱 미탑재</t>
        </is>
      </c>
      <c r="E39" s="7" t="inlineStr">
        <is>
          <t>크룹 stridor 0.25mL ×2회 네뷸</t>
        </is>
      </c>
      <c r="F39" s="4" t="inlineStr">
        <is>
          <t>C</t>
        </is>
      </c>
      <c r="G39" s="7" t="inlineStr">
        <is>
          <t>원내 미보유 → Ventolin + 스테로이드 대응이 맞습니까?</t>
        </is>
      </c>
      <c r="H39" s="8" t="inlineStr"/>
      <c r="I39" s="8" t="inlineStr"/>
      <c r="J39" s="4" t="inlineStr"/>
    </row>
    <row r="40" ht="34" customHeight="1">
      <c r="A40" s="4" t="inlineStr">
        <is>
          <t>기타③</t>
        </is>
      </c>
      <c r="B40" s="4" t="inlineStr"/>
      <c r="C40" s="6" t="inlineStr">
        <is>
          <t>기도 장비 — NPA 규격</t>
        </is>
      </c>
      <c r="D40" s="4" t="inlineStr">
        <is>
          <t>앱 3.5Fr (미확인 배지)</t>
        </is>
      </c>
      <c r="E40" s="7" t="inlineStr">
        <is>
          <t>H: 14Fr</t>
        </is>
      </c>
      <c r="F40" s="4" t="inlineStr">
        <is>
          <t>H</t>
        </is>
      </c>
      <c r="G40" s="7" t="inlineStr">
        <is>
          <t>★ 4배 차이로 판정 불가. 장비 실물 규격 목록이 필요합니다</t>
        </is>
      </c>
      <c r="H40" s="8" t="inlineStr"/>
      <c r="I40" s="8" t="inlineStr"/>
      <c r="J40" s="4" t="inlineStr"/>
    </row>
    <row r="41" ht="34" customHeight="1">
      <c r="A41" s="4" t="inlineStr">
        <is>
          <t>기타④</t>
        </is>
      </c>
      <c r="B41" s="4" t="inlineStr"/>
      <c r="C41" s="4" t="inlineStr">
        <is>
          <t>근이완제 운영</t>
        </is>
      </c>
      <c r="D41" s="4" t="inlineStr">
        <is>
          <t>Rocuronium 단독 (원내 미보유 5종 제외)</t>
        </is>
      </c>
      <c r="E41" s="7" t="inlineStr"/>
      <c r="F41" s="4" t="inlineStr">
        <is>
          <t>S + 칩스 결정 260810</t>
        </is>
      </c>
      <c r="G41" s="7" t="inlineStr">
        <is>
          <t>Succinylcholine 등 5행은 원내 미보유로 제외했습니다. 임상적으로 괜찮습니까?</t>
        </is>
      </c>
      <c r="H41" s="8" t="inlineStr"/>
      <c r="I41" s="8" t="inlineStr"/>
      <c r="J41" s="4" t="inlineStr"/>
    </row>
    <row r="43" ht="28" customHeight="1">
      <c r="A43" s="9" t="inlineStr">
        <is>
          <t>※ 회신 주시면 「원내 확정값」만 앱에 반영하고, 앱 화면의 🩺 Q배지를 제거합니다.  정본 문서: 소아과교수_질의서_260811.md · 소아약물_용량초안_검수표_260810.md</t>
        </is>
      </c>
    </row>
  </sheetData>
  <autoFilter ref="A4:J41"/>
  <mergeCells count="3">
    <mergeCell ref="A1:J1"/>
    <mergeCell ref="A43:J43"/>
    <mergeCell ref="A2:J2"/>
  </mergeCells>
  <dataValidations count="1">
    <dataValidation sqref="H5:H41" showDropDown="0" showInputMessage="0" showErrorMessage="0" allowBlank="1" type="list">
      <formula1>"✅ 채택,✏️ 원내 값으로 수정,❌ 원내 미사용,보류"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62" customWidth="1" min="4" max="4"/>
    <col width="60" customWidth="1" min="5" max="5"/>
  </cols>
  <sheetData>
    <row r="1" ht="22" customHeight="1">
      <c r="A1" s="1" t="inlineStr">
        <is>
          <t>근거 자료 (Evidence)</t>
        </is>
      </c>
    </row>
    <row r="2" ht="42" customHeight="1">
      <c r="A2" s="2" t="inlineStr">
        <is>
          <t>⚠️ AHA 원문(Circulation)은 유료 구독이라 직접 확인하지 못했습니다. A의 근거 표기와 B·C(미국 대학병원 기관 표준표)를 교차 대조하는 방식으로 갈음했습니다. 따라서 이 표의 값은 「AHA 확정」이 아니라 「AHA 근거 자료 + 기관 표준표 교차 대조」입니다.</t>
        </is>
      </c>
    </row>
    <row r="4" ht="34" customHeight="1">
      <c r="A4" s="3" t="inlineStr">
        <is>
          <t>코드</t>
        </is>
      </c>
      <c r="B4" s="3" t="inlineStr">
        <is>
          <t>자료</t>
        </is>
      </c>
      <c r="C4" s="3" t="inlineStr">
        <is>
          <t>성격</t>
        </is>
      </c>
      <c r="D4" s="3" t="inlineStr">
        <is>
          <t>내용 / 비고</t>
        </is>
      </c>
      <c r="E4" s="3" t="inlineStr">
        <is>
          <t>링크</t>
        </is>
      </c>
    </row>
    <row r="5" ht="42" customHeight="1">
      <c r="A5" s="10" t="inlineStr">
        <is>
          <t>A</t>
        </is>
      </c>
      <c r="B5" s="4" t="inlineStr">
        <is>
          <t>PALS_소아응급계산기_DB_설계서.xlsx</t>
        </is>
      </c>
      <c r="C5" s="4" t="inlineStr">
        <is>
          <t>저장소 내 자료 (refs/)</t>
        </is>
      </c>
      <c r="D5" s="4" t="inlineStr">
        <is>
          <t>근거가 약물_참고문헌.md 에 AHA PALS 2020 / 2023 focused update 등으로 문서화됨</t>
        </is>
      </c>
      <c r="E5" s="4" t="inlineStr"/>
    </row>
    <row r="6" ht="42" customHeight="1">
      <c r="A6" s="10" t="inlineStr">
        <is>
          <t>B</t>
        </is>
      </c>
      <c r="B6" s="4" t="inlineStr">
        <is>
          <t>UNC Pediatric IV Push Quick ED Reference Table (2025)</t>
        </is>
      </c>
      <c r="C6" s="4" t="inlineStr">
        <is>
          <t>미국 노스캐롤라이나대 병원 소아 응급 IV push 투약표</t>
        </is>
      </c>
      <c r="D6" s="4" t="inlineStr">
        <is>
          <t>소아 응급 정맥 푸시 약물의 용량·최대치·희석을 한 장으로 정리한 기관 표준표</t>
        </is>
      </c>
      <c r="E6" s="11" t="inlineStr">
        <is>
          <t>https://www.med.unc.edu/pediatrics/cccp/wp-content/uploads/sites/1156/2025/06/Pediatric-IV-Push-Quick-ED-Reference-Table.pdf</t>
        </is>
      </c>
    </row>
    <row r="7" ht="42" customHeight="1">
      <c r="A7" s="10" t="inlineStr">
        <is>
          <t>C</t>
        </is>
      </c>
      <c r="B7" s="4" t="inlineStr">
        <is>
          <t>OHSU Pediatric Emergency Management Guide 5th ed.</t>
        </is>
      </c>
      <c r="C7" s="4" t="inlineStr">
        <is>
          <t>미국 오리건보건과학대 소아 응급 포켓카드</t>
        </is>
      </c>
      <c r="D7" s="4" t="inlineStr">
        <is>
          <t>소아 응급 전반(소생·수액·지속주입·중독)을 담은 기관 표준 포켓카드</t>
        </is>
      </c>
      <c r="E7" s="11" t="inlineStr">
        <is>
          <t>https://www.ohsu.edu/sites/default/files/2019-04/DCH-3042167-Emergency-Pocket-Card-v5.pdf</t>
        </is>
      </c>
    </row>
    <row r="8" ht="42" customHeight="1">
      <c r="A8" s="10" t="inlineStr">
        <is>
          <t>D</t>
        </is>
      </c>
      <c r="B8" s="4" t="inlineStr">
        <is>
          <t>AAP (미국소아과학회) Pediatrics</t>
        </is>
      </c>
      <c r="C8" s="4" t="inlineStr">
        <is>
          <t>학회 공식 간행물</t>
        </is>
      </c>
      <c r="D8" s="4" t="inlineStr">
        <is>
          <t>Naloxone 소아 용량 / Vitamin K and the Newborn Infant (2022)</t>
        </is>
      </c>
      <c r="E8" s="11" t="inlineStr">
        <is>
          <t>https://publications.aap.org/pediatrics/article/149/3/e2021056036/184866/Vitamin-K-and-the-Newborn-Infant</t>
        </is>
      </c>
    </row>
    <row r="9" ht="42" customHeight="1">
      <c r="A9" s="10" t="inlineStr">
        <is>
          <t>H</t>
        </is>
      </c>
      <c r="B9" s="4" t="inlineStr">
        <is>
          <t>소아응급_체중구간표_병원컨펌_260810.xlsx</t>
        </is>
      </c>
      <c r="C9" s="4" t="inlineStr">
        <is>
          <t>병원 제공 (refs/병원컨펌_소아_260810/)</t>
        </is>
      </c>
      <c r="D9" s="4" t="inlineStr">
        <is>
          <t>체중 11구간 × 장비·소생·RSI. ★ 검산으로 수치 오류 3건 검출 → Q1~Q3</t>
        </is>
      </c>
      <c r="E9" s="4" t="inlineStr"/>
    </row>
    <row r="10" ht="42" customHeight="1">
      <c r="A10" s="10" t="inlineStr">
        <is>
          <t>S</t>
        </is>
      </c>
      <c r="B10" s="4" t="inlineStr">
        <is>
          <t>입고예정약품 - 응급실요청 20260608.xlsx</t>
        </is>
      </c>
      <c r="C10" s="4" t="inlineStr">
        <is>
          <t>원내 재고 정본 (refs/)</t>
        </is>
      </c>
      <c r="D10" s="4" t="inlineStr">
        <is>
          <t>134건. 옴니셀·비품·현재입고량 포함. 원내 규격·농도의 1차 정본</t>
        </is>
      </c>
      <c r="E10" s="4" t="inlineStr"/>
    </row>
    <row r="11" ht="42" customHeight="1">
      <c r="A11" s="10" t="inlineStr">
        <is>
          <t>검산</t>
        </is>
      </c>
      <c r="B11" s="4" t="inlineStr">
        <is>
          <t>AI 산술 검산</t>
        </is>
      </c>
      <c r="C11" s="4" t="inlineStr">
        <is>
          <t>이 표 작성 과정</t>
        </is>
      </c>
      <c r="D11" s="4" t="inlineStr">
        <is>
          <t>컨펌표 각 칸을 열 대표체중으로 나눠 mg/kg 역산 → 열 간 일관성 대조. ★ 임상 확정값 아님</t>
        </is>
      </c>
      <c r="E11" s="4" t="inlineStr"/>
    </row>
    <row r="12" ht="42" customHeight="1">
      <c r="A12" s="10" t="inlineStr">
        <is>
          <t>—</t>
        </is>
      </c>
      <c r="B12" s="4" t="inlineStr">
        <is>
          <t>근거 없음</t>
        </is>
      </c>
      <c r="C12" s="4" t="inlineStr"/>
      <c r="D12" s="4" t="inlineStr">
        <is>
          <t>표준 투약표에서 찾지 못한 항목. ★ 지어내지 않고 비워 두었다</t>
        </is>
      </c>
      <c r="E12" s="4" t="inlineStr"/>
    </row>
  </sheetData>
  <mergeCells count="2">
    <mergeCell ref="A2:E2"/>
    <mergeCell ref="A1:E1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6" customWidth="1" min="4" max="4"/>
    <col width="52" customWidth="1" min="5" max="5"/>
    <col width="15" customWidth="1" min="6" max="6"/>
    <col width="20" customWidth="1" min="7" max="7"/>
    <col width="22" customWidth="1" min="8" max="8"/>
  </cols>
  <sheetData>
    <row r="1" ht="22" customHeight="1">
      <c r="A1" s="1" t="inlineStr">
        <is>
          <t>이미 앱에 반영한 초안 8건 — 검수만 부탁드립니다</t>
        </is>
      </c>
    </row>
    <row r="2" ht="42" customHeight="1">
      <c r="A2" s="2" t="inlineStr">
        <is>
          <t>🛑 아래 8건은 자료가 일치해 앱에 「초안」 배지를 달고 넣어 둔 상태입니다. 검수 후 배지를 뗍니다. 나머지 항목은 「소아과 검수」 시트에 있습니다.</t>
        </is>
      </c>
    </row>
    <row r="4" ht="34" customHeight="1">
      <c r="A4" s="3" t="inlineStr">
        <is>
          <t>#</t>
        </is>
      </c>
      <c r="B4" s="3" t="inlineStr">
        <is>
          <t>약물</t>
        </is>
      </c>
      <c r="C4" s="3" t="inlineStr">
        <is>
          <t>반영한 초안 용량</t>
        </is>
      </c>
      <c r="D4" s="3" t="inlineStr">
        <is>
          <t>근거</t>
        </is>
      </c>
      <c r="E4" s="3" t="inlineStr">
        <is>
          <t>주의 / 비고</t>
        </is>
      </c>
      <c r="F4" s="3" t="inlineStr">
        <is>
          <t>검토
✅채택 / ✏️수정 / ❌미사용</t>
        </is>
      </c>
      <c r="G4" s="3" t="inlineStr">
        <is>
          <t>원내 확정값</t>
        </is>
      </c>
      <c r="H4" s="3" t="inlineStr">
        <is>
          <t>메모</t>
        </is>
      </c>
    </row>
    <row r="5" ht="46" customHeight="1">
      <c r="A5" s="4" t="n">
        <v>1</v>
      </c>
      <c r="B5" s="4" t="inlineStr">
        <is>
          <t>Naloxone</t>
        </is>
      </c>
      <c r="C5" s="4" t="inlineStr">
        <is>
          <t>0.1mg/kg IV (1회 max 2mg), 30초에 걸쳐, q2~3분 반복</t>
        </is>
      </c>
      <c r="D5" s="4" t="inlineStr">
        <is>
          <t>B·C·D 일치</t>
        </is>
      </c>
      <c r="E5" s="4" t="inlineStr">
        <is>
          <t>D: 5세 미만 또는 20kg 이하는 0.1mg/kg / 20kg 초과는 2mg. 알칼리 용액과 혼합 금지. 원내 0.4mg/mL 실물 보유 확인(260810)</t>
        </is>
      </c>
      <c r="F5" s="8" t="inlineStr"/>
      <c r="G5" s="8" t="inlineStr"/>
      <c r="H5" s="4" t="inlineStr"/>
    </row>
    <row r="6" ht="46" customHeight="1">
      <c r="A6" s="4" t="n">
        <v>2</v>
      </c>
      <c r="B6" s="4" t="inlineStr">
        <is>
          <t>Flumazenil</t>
        </is>
      </c>
      <c r="C6" s="4" t="inlineStr">
        <is>
          <t>0.01mg/kg (1회 max 0.2mg) IV q1분 · 누적 max 0.05mg/kg 또는 1mg 중 낮은 쪽</t>
        </is>
      </c>
      <c r="D6" s="4" t="inlineStr">
        <is>
          <t>B·C 완전 일치</t>
        </is>
      </c>
      <c r="E6" s="4" t="inlineStr">
        <is>
          <t>★ 만성 벤조 복용자·경련 환자 금기. 의도적 과량복용에 일상적으로 쓰지 않음. 원내 Flunil 0.5mg/5mL</t>
        </is>
      </c>
      <c r="F6" s="8" t="inlineStr"/>
      <c r="G6" s="8" t="inlineStr"/>
      <c r="H6" s="4" t="inlineStr"/>
    </row>
    <row r="7" ht="46" customHeight="1">
      <c r="A7" s="4" t="n">
        <v>3</v>
      </c>
      <c r="B7" s="4" t="inlineStr">
        <is>
          <t>활성탄</t>
        </is>
      </c>
      <c r="C7" s="4" t="inlineStr">
        <is>
          <t>0.5~1g/kg PO/NG (sorbitol 없는 제형)</t>
        </is>
      </c>
      <c r="D7" s="4" t="inlineStr">
        <is>
          <t>C</t>
        </is>
      </c>
      <c r="E7" s="4" t="inlineStr">
        <is>
          <t>섭취 후 가급적 1시간 이내. 원내 New Heuk powder 50g 실물 보유 확인(260810)</t>
        </is>
      </c>
      <c r="F7" s="8" t="inlineStr"/>
      <c r="G7" s="8" t="inlineStr"/>
      <c r="H7" s="4" t="inlineStr"/>
    </row>
    <row r="8" ht="46" customHeight="1">
      <c r="A8" s="4" t="n">
        <v>4</v>
      </c>
      <c r="B8" s="4" t="inlineStr">
        <is>
          <t>Mannitol</t>
        </is>
      </c>
      <c r="C8" s="4" t="inlineStr">
        <is>
          <t>0.25~1g/kg IV over 20분</t>
        </is>
      </c>
      <c r="D8" s="4" t="inlineStr">
        <is>
          <t>C</t>
        </is>
      </c>
      <c r="E8" s="4" t="inlineStr">
        <is>
          <t>저혈량 아닌지 먼저 확인 · ★ 5μm 미만 필터 필요. 원내 20% 100mL</t>
        </is>
      </c>
      <c r="F8" s="8" t="inlineStr"/>
      <c r="G8" s="8" t="inlineStr"/>
      <c r="H8" s="4" t="inlineStr"/>
    </row>
    <row r="9" ht="46" customHeight="1">
      <c r="A9" s="4" t="n">
        <v>5</v>
      </c>
      <c r="B9" s="4" t="inlineStr">
        <is>
          <t>Salbutamol 네뷸</t>
        </is>
      </c>
      <c r="C9" s="4" t="inlineStr">
        <is>
          <t>0.15mg/kg (최소 2.5mg, 통상 2.5~5mg) q20분 ×3 → 필요시 q1시간 · 지속 5~15mg/hr</t>
        </is>
      </c>
      <c r="D9" s="4" t="inlineStr">
        <is>
          <t>A·C 일치</t>
        </is>
      </c>
      <c r="E9" s="4" t="inlineStr">
        <is>
          <t>원내 Ventolin Nebule 2.5mg/2.5mL</t>
        </is>
      </c>
      <c r="F9" s="8" t="inlineStr"/>
      <c r="G9" s="8" t="inlineStr"/>
      <c r="H9" s="4" t="inlineStr"/>
    </row>
    <row r="10" ht="46" customHeight="1">
      <c r="A10" s="4" t="n">
        <v>6</v>
      </c>
      <c r="B10" s="4" t="inlineStr">
        <is>
          <t>Insulin (속효성)</t>
        </is>
      </c>
      <c r="C10" s="4" t="inlineStr">
        <is>
          <t>DKA 0.05U/kg/hr 지속주입 (★볼루스 금지) · 고칼륨 0.1U/kg IV (max 10U) + Glucose 0.5g/kg 병용</t>
        </is>
      </c>
      <c r="D10" s="4" t="inlineStr">
        <is>
          <t>C</t>
        </is>
      </c>
      <c r="E10" s="4" t="inlineStr">
        <is>
          <t>DKA에서 혈당 &lt;300 → D5NS 추가, &lt;200 → D10 추가. 원내 Humulin R 100IU/mL</t>
        </is>
      </c>
      <c r="F10" s="8" t="inlineStr"/>
      <c r="G10" s="8" t="inlineStr"/>
      <c r="H10" s="4" t="inlineStr"/>
    </row>
    <row r="11" ht="46" customHeight="1">
      <c r="A11" s="4" t="n">
        <v>7</v>
      </c>
      <c r="B11" s="4" t="inlineStr">
        <is>
          <t>Dextrose 10%</t>
        </is>
      </c>
      <c r="C11" s="4" t="inlineStr">
        <is>
          <t>Glucose 0.5g/kg IV (max 25g) → D10W 기준 5mL/kg</t>
        </is>
      </c>
      <c r="D11" s="4" t="inlineStr">
        <is>
          <t>C</t>
        </is>
      </c>
      <c r="E11" s="4" t="inlineStr">
        <is>
          <t>B는 6개월 미만 0.25~0.5g/kg / 6개월 이상 0.5~1g/kg. 원내 D10W 1000mL bag</t>
        </is>
      </c>
      <c r="F11" s="8" t="inlineStr"/>
      <c r="G11" s="8" t="inlineStr"/>
      <c r="H11" s="4" t="inlineStr"/>
    </row>
    <row r="12" ht="46" customHeight="1">
      <c r="A12" s="4" t="n">
        <v>8</v>
      </c>
      <c r="B12" s="4" t="inlineStr">
        <is>
          <t>Vitamin K1</t>
        </is>
      </c>
      <c r="C12" s="4" t="inlineStr">
        <is>
          <t>신생아 예방 0.5~1mg IM 1회 (출생체중 &gt;1500g는 1mg)</t>
        </is>
      </c>
      <c r="D12" s="4" t="inlineStr">
        <is>
          <t>D (AAP 2022)</t>
        </is>
      </c>
      <c r="E12" s="4" t="inlineStr">
        <is>
          <t>★ 체중 비례가 아닌 고정 용량 — 계산기에 kg 곱을 넣지 말 것. 원내 10mg/1mL</t>
        </is>
      </c>
      <c r="F12" s="8" t="inlineStr"/>
      <c r="G12" s="8" t="inlineStr"/>
      <c r="H12" s="4" t="inlineStr"/>
    </row>
  </sheetData>
  <mergeCells count="2">
    <mergeCell ref="A2:H2"/>
    <mergeCell ref="A1:H1"/>
  </mergeCells>
  <dataValidations count="1">
    <dataValidation sqref="F5:F12" showDropDown="0" showInputMessage="0" showErrorMessage="0" allowBlank="1" type="list">
      <formula1>"✅ 채택,✏️ 원내 값으로 수정,❌ 원내 미사용,보류"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2026-08-11T05:04:41Z</dcterms:created>
  <dcterms:modified xmlns:dcterms="http://purl.org/dc/terms/" xmlns:xsi="http://www.w3.org/2001/XMLSchema-instance" xsi:type="dcterms:W3CDTF">2026-08-11T05:04:41Z</dcterms:modified>
</cp:coreProperties>
</file>